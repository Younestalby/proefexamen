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00000000-0000-0000-0000-000000000000}"/>
  <workbookPr codeName="ThisWorkbook"/>
  <mc:AlternateContent xmlns:mc="http://schemas.openxmlformats.org/markup-compatibility/2006">
    <mc:Choice Requires="x15">
      <x15ac:absPath xmlns:x15ac="http://schemas.microsoft.com/office/spreadsheetml/2010/11/ac" url="C:\Users\youns\Downloads\Nieuwe map (3)\"/>
    </mc:Choice>
  </mc:AlternateContent>
  <xr:revisionPtr revIDLastSave="0" documentId="13_ncr:1_{B8940E62-00D9-4C35-A124-7EAE418710FF}" xr6:coauthVersionLast="47" xr6:coauthVersionMax="47" xr10:uidLastSave="{00000000-0000-0000-0000-000000000000}"/>
  <bookViews>
    <workbookView xWindow="-108" yWindow="-108" windowWidth="23256" windowHeight="12456" tabRatio="840" firstSheet="5" activeTab="8"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<sst xmlns="http://schemas.openxmlformats.org/spreadsheetml/2006/main" count="331" uniqueCount="155">
  <si>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</si>
  <si>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</si>
  <si>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</si>
  <si>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</si>
  <si>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</si>
  <si>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</si>
  <si>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</si>
  <si>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</si>
  <si>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</si>
  <si>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</si>
  <si>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</si>
  <si>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</si>
  <si>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</si>
  <si>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</si>
  <si>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</si>
  <si>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</si>
  <si>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</si>
  <si>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</si>
  <si>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</si>
  <si>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</si>
  <si>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</si>
  <si>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</si>
  <si>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</si>
  <si>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</si>
  <si>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</si>
  <si>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</si>
  <si>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</si>
  <si>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</si>
  <si>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</si>
  <si>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</si>
  <si>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</si>
  <si>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</si>
  <si>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</si>
  <si>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</si>
  <si>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</si>
  <si>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</si>
  <si>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</si>
  <si>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</si>
  <si>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</si>
  <si>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</si>
  <si>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</si>
  <si>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</si>
  <si>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</si>
  <si>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</si>
  <si>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</si>
  <si>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</si>
  <si>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</si>
  <si>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</si>
  <si>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</si>
  <si>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</si>
  <si>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</si>
  <si>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</si>
  <si>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</si>
  <si>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</si>
  <si>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</si>
  <si>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</si>
  <si>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</si>
  <si>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</si>
  <si>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</si>
  <si>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</si>
  <si>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</si>
  <si>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</si>
  <si>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</si>
  <si>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</si>
  <si>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</si>
  <si>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</si>
  <si>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</si>
  <si>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</si>
  <si>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</si>
  <si>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</si>
  <si>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</si>
  <si>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</si>
  <si>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</si>
  <si>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</si>
  <si>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</si>
  <si>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</si>
  <si>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</si>
  <si>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</si>
  <si>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</si>
  <si>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</si>
  <si>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</si>
  <si>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</si>
  <si>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</si>
  <si>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</si>
  <si>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</si>
  <si>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</si>
  <si>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</si>
  <si>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</si>
  <si>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</si>
  <si>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</si>
  <si>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</si>
  <si>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</si>
  <si>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</si>
  <si>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</si>
  <si>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</si>
  <si>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</si>
  <si>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</si>
  <si>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</si>
  <si>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</si>
  <si>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</si>
  <si>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</si>
  <si>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</si>
  <si>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</si>
  <si>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</si>
  <si>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</si>
  <si>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</si>
  <si>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</si>
  <si>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</si>
  <si>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</si>
  <si>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</si>
  <si>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</si>
  <si>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</si>
  <si>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</si>
  <si>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</si>
  <si>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</si>
  <si>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</si>
  <si>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</si>
  <si>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</si>
  <si>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</si>
  <si>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</si>
  <si>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</si>
  <si>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</si>
  <si>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</si>
  <si>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</si>
  <si>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</si>
  <si>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</si>
  <si>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</si>
  <si>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</si>
  <si>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</si>
  <si>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</si>
  <si>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</si>
  <si>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</si>
  <si>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</si>
  <si>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</si>
  <si>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</si>
  <si>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</si>
  <si>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</si>
  <si>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</si>
  <si>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</si>
  <si>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</si>
  <si>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</si>
  <si>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</si>
  <si>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</si>
  <si>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</si>
  <si>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</si>
  <si>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</si>
  <si>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</si>
  <si>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</si>
  <si>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</si>
  <si>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</si>
  <si>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</si>
  <si>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</si>
  <si>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3b</t>
  </si>
  <si>
    <t>Younes Et-Talby</t>
  </si>
  <si>
    <t>Justin Kool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</si>
</sst>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checked="Checked" fmlaLink="'B1-K2-W1'!$K$25" lockText="1" noThreeD="1"/>
</file>

<file path=xl/ctrlProps/ctrlProp11.xml><?xml version="1.0" encoding="utf-8"?>
<formControlPr xmlns="http://schemas.microsoft.com/office/spreadsheetml/2009/9/main" objectType="CheckBox"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checked="Checked" fmlaLink="'B1-K2-W1'!$K$26" lockText="1" noThreeD="1"/>
</file>

<file path=xl/ctrlProps/ctrlProp15.xml><?xml version="1.0" encoding="utf-8"?>
<formControlPr xmlns="http://schemas.microsoft.com/office/spreadsheetml/2009/9/main" objectType="CheckBox"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checked="Checked"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checked="Checked"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checked="Checked"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checked="Checked"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checked="Checked"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checked="Checked"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LID4096"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LID4096" sz="1100" b="0" i="0" u="none" strike="noStrike" baseline="0">
                  <a:solidFill>
                    <a:srgbClr val="000000"/>
                  </a:solidFill>
                  <a:latin typeface="Calibri"/>
                  <a:ea typeface="Calibri"/>
                  <a:cs typeface="Calibri"/>
                </a:rPr>
                <a:t>Publiceren</a:t>
              </a:r>
            </a:p>
            <a:p>
              <a:pPr algn="ctr" rtl="0">
                <a:defRPr sz="1000"/>
              </a:pPr>
              <a:endParaRPr lang="LID4096"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20</v>
      </c>
      <c r="B7" s="94" t="str">
        <f>KerntakenEnWerkprocessen!B7</f>
        <v>[Examennaam]</v>
      </c>
      <c r="C7" s="95"/>
    </row>
    <row r="8" spans="1:6" s="16" customFormat="1" ht="23.25" customHeight="1" x14ac:dyDescent="0.3">
      <c r="A8" s="53" t="s">
        <v>21</v>
      </c>
      <c r="B8" s="94" t="str">
        <f>KerntakenEnWerkprocessen!C7</f>
        <v>[Examencode]</v>
      </c>
      <c r="C8" s="95"/>
    </row>
    <row r="9" spans="1:6" s="16" customFormat="1" ht="23.25" customHeight="1" x14ac:dyDescent="0.3">
      <c r="A9" s="53" t="s">
        <v>22</v>
      </c>
      <c r="B9" s="94" t="str">
        <f>KerntakenEnWerkprocessen!B9</f>
        <v>P1: Software developer, 4</v>
      </c>
      <c r="C9" s="95"/>
    </row>
    <row r="10" spans="1:6" s="16" customFormat="1" ht="23.25" customHeight="1" x14ac:dyDescent="0.3">
      <c r="A10" s="53" t="s">
        <v>23</v>
      </c>
      <c r="B10" s="94" t="str">
        <f>KerntakenEnWerkprocessen!B8</f>
        <v>Software development</v>
      </c>
      <c r="C10" s="95"/>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92" t="str">
        <f>KerntakenEnWerkprocessen!C5</f>
        <v>Werkt in een ontwikkelteam</v>
      </c>
      <c r="C12" s="92"/>
    </row>
    <row r="13" spans="1:6" s="16" customFormat="1" ht="2.1" customHeight="1" x14ac:dyDescent="0.3">
      <c r="A13" s="55"/>
      <c r="B13" s="28"/>
      <c r="C13" s="29"/>
    </row>
    <row r="14" spans="1:6" ht="222.75" customHeight="1" x14ac:dyDescent="0.3">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6" t="str">
        <f>CONCATENATE(kerntaakCode,": ",kerntaakNaam)</f>
        <v>B1-K2: Werkt in een ontwikkelteam</v>
      </c>
      <c r="C10" s="96"/>
      <c r="D10" s="96"/>
      <c r="E10" s="96"/>
      <c r="F10" s="96"/>
      <c r="G10" s="96"/>
    </row>
    <row r="11" spans="1:7" ht="28.5" customHeight="1" x14ac:dyDescent="0.5">
      <c r="B11" s="97" t="e">
        <f>CONCATENATE(VLOOKUP(B1,werkprocessen,1,FALSE),": ",C1)</f>
        <v>#N/A</v>
      </c>
      <c r="C11" s="97"/>
      <c r="D11" s="97"/>
      <c r="E11" s="97"/>
      <c r="F11" s="97"/>
      <c r="G11" s="97"/>
    </row>
    <row r="13" spans="1:7" ht="24" customHeight="1" x14ac:dyDescent="0.3">
      <c r="B13" s="88" t="s">
        <v>36</v>
      </c>
      <c r="C13" s="89"/>
      <c r="D13" s="89"/>
      <c r="E13" s="89"/>
      <c r="F13" s="89"/>
      <c r="G13" s="90"/>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8" t="s">
        <v>46</v>
      </c>
      <c r="C4" s="98"/>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workbookViewId="0">
      <selection activeCell="B25" sqref="A13:C26"/>
    </sheetView>
  </sheetViews>
  <sheetFormatPr defaultRowHeight="14.4" x14ac:dyDescent="0.3"/>
  <cols>
    <col min="1" max="1" width="33.21875" customWidth="1"/>
    <col min="2" max="3" width="33.5546875" customWidth="1"/>
    <col min="4" max="4" width="28.21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21</v>
      </c>
      <c r="B7" s="94" t="str">
        <f>KerntakenEnWerkprocessen!C7</f>
        <v>[Examencode]</v>
      </c>
      <c r="C7" s="95"/>
    </row>
    <row r="8" spans="1:6" s="16" customFormat="1" ht="23.25" customHeight="1" x14ac:dyDescent="0.3">
      <c r="A8" s="53" t="s">
        <v>22</v>
      </c>
      <c r="B8" s="94" t="str">
        <f>KerntakenEnWerkprocessen!B9</f>
        <v>P1: Software developer, 4</v>
      </c>
      <c r="C8" s="95"/>
    </row>
    <row r="9" spans="1:6" s="16" customFormat="1" ht="23.25" customHeight="1" x14ac:dyDescent="0.3">
      <c r="A9" s="53" t="s">
        <v>23</v>
      </c>
      <c r="B9" s="94" t="str">
        <f>KerntakenEnWerkprocessen!B8</f>
        <v>Software development</v>
      </c>
      <c r="C9" s="95"/>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92" t="str">
        <f>KerntakenEnWerkprocessen!C5</f>
        <v>Werkt in een ontwikkelteam</v>
      </c>
      <c r="C11" s="92"/>
    </row>
    <row r="12" spans="1:6" s="16" customFormat="1" ht="2.1" customHeight="1" x14ac:dyDescent="0.3">
      <c r="A12" s="55"/>
      <c r="B12" s="28"/>
      <c r="C12" s="29"/>
    </row>
    <row r="13" spans="1:6" ht="222.75" customHeight="1" x14ac:dyDescent="0.3">
      <c r="A13" s="56" t="s">
        <v>26</v>
      </c>
      <c r="B13" s="91" t="str">
        <f>KerntakenEnWerkprocessen!F2</f>
        <v xml:space="preserve">B1-K2-W1 Voert overleg
B1-K2-W2 Presenteert het opgeleverde werk
B1-K2-W3 Reflecteert op het werk
</v>
      </c>
      <c r="C13" s="91"/>
      <c r="F13" s="26"/>
    </row>
    <row r="15" spans="1:6" x14ac:dyDescent="0.3">
      <c r="A15" s="104" t="s">
        <v>36</v>
      </c>
      <c r="B15" s="105"/>
      <c r="C15" s="106"/>
    </row>
    <row r="16" spans="1:6" ht="14.25" customHeight="1" x14ac:dyDescent="0.3">
      <c r="A16" s="70" t="s">
        <v>37</v>
      </c>
      <c r="B16" s="107">
        <v>45590</v>
      </c>
      <c r="C16" s="108"/>
      <c r="D16" s="71" t="s">
        <v>106</v>
      </c>
    </row>
    <row r="17" spans="1:3" x14ac:dyDescent="0.3">
      <c r="A17" s="70" t="s">
        <v>38</v>
      </c>
      <c r="B17" s="101" t="s">
        <v>153</v>
      </c>
      <c r="C17" s="102"/>
    </row>
    <row r="18" spans="1:3" x14ac:dyDescent="0.3">
      <c r="A18" s="70" t="s">
        <v>39</v>
      </c>
      <c r="B18" s="99">
        <v>9010549</v>
      </c>
      <c r="C18" s="100"/>
    </row>
    <row r="19" spans="1:3" x14ac:dyDescent="0.3">
      <c r="A19" s="70" t="s">
        <v>40</v>
      </c>
      <c r="B19" s="101" t="s">
        <v>152</v>
      </c>
      <c r="C19" s="102"/>
    </row>
    <row r="20" spans="1:3" x14ac:dyDescent="0.3">
      <c r="A20" s="70" t="s">
        <v>107</v>
      </c>
      <c r="B20" s="101" t="s">
        <v>154</v>
      </c>
      <c r="C20" s="102"/>
    </row>
    <row r="21" spans="1:3" x14ac:dyDescent="0.3">
      <c r="A21" s="70" t="s">
        <v>108</v>
      </c>
      <c r="B21" s="101" t="s">
        <v>154</v>
      </c>
      <c r="C21" s="102"/>
    </row>
    <row r="22" spans="1:3" ht="15" thickBot="1" x14ac:dyDescent="0.35"/>
    <row r="23" spans="1:3" ht="15" thickBot="1" x14ac:dyDescent="0.35">
      <c r="A23" s="72" t="s">
        <v>26</v>
      </c>
      <c r="B23" s="73" t="s">
        <v>109</v>
      </c>
      <c r="C23" s="103" t="s">
        <v>110</v>
      </c>
    </row>
    <row r="24" spans="1:3" x14ac:dyDescent="0.3">
      <c r="A24" s="70" t="s">
        <v>63</v>
      </c>
      <c r="B24" s="74">
        <f>'B1-K2-W1'!B45</f>
        <v>8.5</v>
      </c>
      <c r="C24" s="103"/>
    </row>
    <row r="25" spans="1:3" x14ac:dyDescent="0.3">
      <c r="A25" s="70" t="s">
        <v>65</v>
      </c>
      <c r="B25" s="74">
        <f>'B1-K2-W2'!B41</f>
        <v>7</v>
      </c>
      <c r="C25" s="103"/>
    </row>
    <row r="26" spans="1:3" x14ac:dyDescent="0.3">
      <c r="A26" s="70" t="s">
        <v>67</v>
      </c>
      <c r="B26" s="74">
        <f>'B1-K2-W3'!B41</f>
        <v>10</v>
      </c>
      <c r="C26" s="103"/>
    </row>
    <row r="27" spans="1:3" x14ac:dyDescent="0.3">
      <c r="A27" s="16"/>
      <c r="B27" s="84"/>
      <c r="C27" s="83"/>
    </row>
    <row r="28" spans="1:3" x14ac:dyDescent="0.3">
      <c r="A28" s="85" t="s">
        <v>111</v>
      </c>
      <c r="B28" s="86" cm="1">
        <f t="array" ref="B28">IF(OR(B24:B26&lt;5.5),1,IF(OR(B24:B26=""),"",(AVERAGE(B24:B26))))</f>
        <v>8.5</v>
      </c>
      <c r="C28" s="83"/>
    </row>
    <row r="29" spans="1:3" ht="15" thickBot="1" x14ac:dyDescent="0.35"/>
    <row r="30" spans="1:3" ht="15" thickBot="1" x14ac:dyDescent="0.35">
      <c r="A30" s="72" t="s">
        <v>112</v>
      </c>
      <c r="B30" s="72" t="s">
        <v>113</v>
      </c>
    </row>
    <row r="31" spans="1:3" x14ac:dyDescent="0.3">
      <c r="A31" s="75"/>
      <c r="B31" s="75"/>
      <c r="C31" s="76"/>
    </row>
    <row r="32" spans="1:3" x14ac:dyDescent="0.3">
      <c r="A32" s="77"/>
      <c r="B32" s="77"/>
    </row>
    <row r="33" spans="1:2" x14ac:dyDescent="0.3">
      <c r="A33" s="77"/>
      <c r="B33" s="77"/>
    </row>
    <row r="34" spans="1:2" x14ac:dyDescent="0.3">
      <c r="A34" s="77"/>
      <c r="B34" s="77"/>
    </row>
    <row r="35" spans="1:2" ht="15" thickBot="1" x14ac:dyDescent="0.35">
      <c r="A35" s="78"/>
      <c r="B35" s="78"/>
    </row>
  </sheetData>
  <mergeCells count="16">
    <mergeCell ref="B17:C17"/>
    <mergeCell ref="A1:C1"/>
    <mergeCell ref="A3:C3"/>
    <mergeCell ref="B6:C6"/>
    <mergeCell ref="B7:C7"/>
    <mergeCell ref="B8:C8"/>
    <mergeCell ref="B9:C9"/>
    <mergeCell ref="B11:C11"/>
    <mergeCell ref="B13:C13"/>
    <mergeCell ref="A15:C15"/>
    <mergeCell ref="B16:C16"/>
    <mergeCell ref="B18:C18"/>
    <mergeCell ref="B19:C19"/>
    <mergeCell ref="B20:C20"/>
    <mergeCell ref="B21:C21"/>
    <mergeCell ref="C23:C2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25"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10</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B1-K2-W1: Voert overleg</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Younes Et-Talby</v>
      </c>
      <c r="D15" s="10"/>
      <c r="E15" s="10"/>
      <c r="F15" s="10"/>
      <c r="G15" s="14"/>
    </row>
    <row r="16" spans="1:7" ht="22.5" customHeight="1" x14ac:dyDescent="0.3">
      <c r="B16" s="57" t="s">
        <v>39</v>
      </c>
      <c r="C16" s="82">
        <f>IF(Voorblad!B18="","",Voorblad!B18)</f>
        <v>9010549</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Justin Kool</v>
      </c>
      <c r="D18" s="10"/>
      <c r="E18" s="10"/>
      <c r="F18" s="10"/>
      <c r="G18" s="14"/>
    </row>
    <row r="19" spans="1:15" ht="22.5" customHeight="1" x14ac:dyDescent="0.3">
      <c r="B19" s="70" t="s">
        <v>108</v>
      </c>
      <c r="C19" s="79" t="str">
        <f>IF(Voorblad!B21="","",Voorblad!B21)</f>
        <v>Justin Kool</v>
      </c>
      <c r="D19" s="10"/>
      <c r="E19" s="10"/>
      <c r="F19" s="10"/>
      <c r="G19" s="14"/>
    </row>
    <row r="20" spans="1:15" ht="23.25" customHeight="1" x14ac:dyDescent="0.3"/>
    <row r="21" spans="1:15" ht="24" customHeight="1" x14ac:dyDescent="0.3">
      <c r="B21" s="110" t="s">
        <v>114</v>
      </c>
      <c r="C21" s="110"/>
      <c r="D21" s="110"/>
      <c r="E21" s="110"/>
      <c r="F21" s="110"/>
      <c r="G21" s="110"/>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1</v>
      </c>
      <c r="L25" s="58"/>
      <c r="M25" s="58">
        <f>IF(L25=TRUE,3,IF(K25=TRUE,2,IF(J25=TRUE,1,IF(I25=TRUE,0,0))))</f>
        <v>2</v>
      </c>
      <c r="N25" s="58">
        <f>(4-COUNTBLANK(D25:G25))-1</f>
        <v>3</v>
      </c>
      <c r="O25" s="58">
        <f>COUNTA(I25:L25)</f>
        <v>1</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t="b">
        <v>1</v>
      </c>
      <c r="L26" s="58" t="b">
        <v>0</v>
      </c>
      <c r="M26" s="58">
        <f>IF(L26=TRUE,3,IF(K26=TRUE,2,IF(J26=TRUE,1,IF(I26=TRUE,0,0))))</f>
        <v>2</v>
      </c>
      <c r="N26" s="58">
        <f>(4-COUNTBLANK(D26:G26))-1</f>
        <v>3</v>
      </c>
      <c r="O26" s="58">
        <f>COUNTA(I26:L26)</f>
        <v>2</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t="b">
        <v>1</v>
      </c>
      <c r="M27" s="58">
        <f>IF(L27=TRUE,3,IF(K27=TRUE,2,IF(J27=TRUE,1,IF(I27=TRUE,0,0))))</f>
        <v>3</v>
      </c>
      <c r="N27" s="58">
        <f>(4-COUNTBLANK(D27:G27))-1</f>
        <v>3</v>
      </c>
      <c r="O27" s="58">
        <f>COUNTA(I27:L27)</f>
        <v>2</v>
      </c>
    </row>
    <row r="29" spans="1:15" ht="28.5" customHeight="1" x14ac:dyDescent="0.5">
      <c r="B29" s="111" t="s">
        <v>129</v>
      </c>
      <c r="C29" s="112"/>
      <c r="D29" s="112"/>
      <c r="E29" s="112"/>
      <c r="F29" s="112"/>
      <c r="G29" s="112"/>
    </row>
    <row r="30" spans="1:15" ht="26.1" customHeight="1" x14ac:dyDescent="0.3">
      <c r="B30" s="65" t="s">
        <v>130</v>
      </c>
    </row>
    <row r="31" spans="1:15" x14ac:dyDescent="0.3">
      <c r="B31" s="66" t="s">
        <v>131</v>
      </c>
      <c r="C31" s="66" t="s">
        <v>132</v>
      </c>
      <c r="D31" s="87" t="s">
        <v>133</v>
      </c>
    </row>
    <row r="32" spans="1:15" x14ac:dyDescent="0.3">
      <c r="B32" s="67">
        <v>0</v>
      </c>
      <c r="C32" s="68">
        <f t="shared" ref="C32:C44" si="0">ROUNDUP(IF(B32&lt;$B$8,4.5/$B$8*B32+1,4.5/($B$4-$B$8)*(B32-$B$8)+5.5),1)</f>
        <v>1</v>
      </c>
      <c r="D32" s="60"/>
    </row>
    <row r="33" spans="2:4" x14ac:dyDescent="0.3">
      <c r="B33" s="67">
        <v>1</v>
      </c>
      <c r="C33" s="68">
        <f t="shared" si="0"/>
        <v>1.8</v>
      </c>
      <c r="D33" s="60" t="str">
        <f t="shared" ref="D33:D44" si="1">IF($B33=$B$5,"X","")</f>
        <v/>
      </c>
    </row>
    <row r="34" spans="2:4" x14ac:dyDescent="0.3">
      <c r="B34" s="67">
        <v>2</v>
      </c>
      <c r="C34" s="68">
        <f t="shared" si="0"/>
        <v>2.5</v>
      </c>
      <c r="D34" s="60" t="str">
        <f t="shared" si="1"/>
        <v/>
      </c>
    </row>
    <row r="35" spans="2:4" x14ac:dyDescent="0.3">
      <c r="B35" s="67">
        <v>3</v>
      </c>
      <c r="C35" s="68">
        <f t="shared" si="0"/>
        <v>3.3000000000000003</v>
      </c>
      <c r="D35" s="60" t="str">
        <f t="shared" si="1"/>
        <v/>
      </c>
    </row>
    <row r="36" spans="2:4" x14ac:dyDescent="0.3">
      <c r="B36" s="67">
        <v>4</v>
      </c>
      <c r="C36" s="68">
        <f t="shared" si="0"/>
        <v>4</v>
      </c>
      <c r="D36" s="60" t="str">
        <f t="shared" si="1"/>
        <v/>
      </c>
    </row>
    <row r="37" spans="2:4" x14ac:dyDescent="0.3">
      <c r="B37" s="67">
        <v>5</v>
      </c>
      <c r="C37" s="68">
        <f t="shared" si="0"/>
        <v>4.8</v>
      </c>
      <c r="D37" s="60" t="str">
        <f t="shared" si="1"/>
        <v/>
      </c>
    </row>
    <row r="38" spans="2:4" x14ac:dyDescent="0.3">
      <c r="B38" s="67">
        <v>6</v>
      </c>
      <c r="C38" s="68">
        <f t="shared" si="0"/>
        <v>5.5</v>
      </c>
      <c r="D38" s="60" t="str">
        <f t="shared" si="1"/>
        <v/>
      </c>
    </row>
    <row r="39" spans="2:4" x14ac:dyDescent="0.3">
      <c r="B39" s="67">
        <v>7</v>
      </c>
      <c r="C39" s="68">
        <f t="shared" si="0"/>
        <v>6.3</v>
      </c>
      <c r="D39" s="60" t="str">
        <f t="shared" si="1"/>
        <v/>
      </c>
    </row>
    <row r="40" spans="2:4" x14ac:dyDescent="0.3">
      <c r="B40" s="67">
        <v>8</v>
      </c>
      <c r="C40" s="68">
        <f t="shared" si="0"/>
        <v>7</v>
      </c>
      <c r="D40" s="60" t="str">
        <f t="shared" si="1"/>
        <v/>
      </c>
    </row>
    <row r="41" spans="2:4" x14ac:dyDescent="0.3">
      <c r="B41" s="67">
        <v>9</v>
      </c>
      <c r="C41" s="68">
        <f t="shared" si="0"/>
        <v>7.8</v>
      </c>
      <c r="D41" s="60" t="str">
        <f t="shared" si="1"/>
        <v/>
      </c>
    </row>
    <row r="42" spans="2:4" x14ac:dyDescent="0.3">
      <c r="B42" s="67">
        <v>10</v>
      </c>
      <c r="C42" s="68">
        <f t="shared" si="0"/>
        <v>8.5</v>
      </c>
      <c r="D42" s="60" t="str">
        <f t="shared" si="1"/>
        <v>X</v>
      </c>
    </row>
    <row r="43" spans="2:4" x14ac:dyDescent="0.3">
      <c r="B43" s="67">
        <v>11</v>
      </c>
      <c r="C43" s="68">
        <f t="shared" si="0"/>
        <v>9.2999999999999989</v>
      </c>
      <c r="D43" s="60" t="str">
        <f t="shared" si="1"/>
        <v/>
      </c>
    </row>
    <row r="44" spans="2:4" x14ac:dyDescent="0.3">
      <c r="B44" s="67">
        <v>12</v>
      </c>
      <c r="C44" s="68">
        <f t="shared" si="0"/>
        <v>10</v>
      </c>
      <c r="D44" s="60" t="str">
        <f t="shared" si="1"/>
        <v/>
      </c>
    </row>
    <row r="45" spans="2:4" hidden="1" x14ac:dyDescent="0.3">
      <c r="B45" s="67">
        <f>IF(D32="X","",IF(D33="X",C33,IF(D34="X",C34,IF(D35="X",C35,IF(D36="X",C36,IF(D37="X",C37,IF(D38="X",C38,IF(D39="X",C39,IF(D40="X",C40,IF(D41="X",C41,IF(D42="X",C42,IF(D43="X",C43,IF(D44="X",C44,"")))))))))))))</f>
        <v>8.5</v>
      </c>
      <c r="C45" s="68"/>
      <c r="D45" s="60"/>
    </row>
    <row r="47" spans="2:4" ht="26.1" customHeight="1" x14ac:dyDescent="0.3">
      <c r="B47" s="65" t="s">
        <v>134</v>
      </c>
    </row>
    <row r="48" spans="2:4" x14ac:dyDescent="0.3">
      <c r="B48" t="s">
        <v>135</v>
      </c>
    </row>
    <row r="49" spans="2:7" ht="35.1" customHeight="1" x14ac:dyDescent="0.3">
      <c r="B49" s="113" t="s">
        <v>7</v>
      </c>
      <c r="C49" s="113"/>
      <c r="D49" s="113"/>
      <c r="E49" s="113"/>
      <c r="F49" s="113"/>
      <c r="G49" s="113"/>
    </row>
    <row r="50" spans="2:7" ht="300" customHeight="1" x14ac:dyDescent="0.3">
      <c r="B50" s="109"/>
      <c r="C50" s="109"/>
      <c r="D50" s="109"/>
      <c r="E50" s="109"/>
      <c r="F50" s="109"/>
      <c r="G50" s="109"/>
    </row>
    <row r="52" spans="2:7" ht="26.1" customHeight="1" x14ac:dyDescent="0.3">
      <c r="B52" s="65" t="s">
        <v>136</v>
      </c>
    </row>
    <row r="53" spans="2:7" x14ac:dyDescent="0.3">
      <c r="B53" s="69" t="s">
        <v>137</v>
      </c>
    </row>
    <row r="54" spans="2:7" x14ac:dyDescent="0.3">
      <c r="B54" t="s">
        <v>138</v>
      </c>
    </row>
    <row r="57" spans="2:7" x14ac:dyDescent="0.3">
      <c r="B57" t="s">
        <v>139</v>
      </c>
    </row>
    <row r="58" spans="2:7" ht="50.1" customHeight="1" x14ac:dyDescent="0.3">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10" workbookViewId="0">
      <selection activeCell="C19" sqref="C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B1-K2-W2: Presenteert het opgeleverde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Younes Et-Talby</v>
      </c>
      <c r="D15" s="10"/>
      <c r="E15" s="10"/>
      <c r="F15" s="10"/>
      <c r="G15" s="14"/>
    </row>
    <row r="16" spans="1:7" ht="22.5" customHeight="1" x14ac:dyDescent="0.3">
      <c r="B16" s="57" t="s">
        <v>39</v>
      </c>
      <c r="C16" s="82">
        <f>IF(Voorblad!B18="","",Voorblad!B18)</f>
        <v>9010549</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Justin Kool</v>
      </c>
      <c r="D18" s="10"/>
      <c r="E18" s="10"/>
      <c r="F18" s="10"/>
      <c r="G18" s="14"/>
    </row>
    <row r="19" spans="1:15" ht="22.5" customHeight="1" x14ac:dyDescent="0.3">
      <c r="B19" s="70" t="s">
        <v>108</v>
      </c>
      <c r="C19" s="79" t="str">
        <f>IF(Voorblad!B21="","",Voorblad!B21)</f>
        <v>Justin Kool</v>
      </c>
      <c r="D19" s="10"/>
      <c r="E19" s="10"/>
      <c r="F19" s="10"/>
      <c r="G19" s="14"/>
    </row>
    <row r="20" spans="1:15" ht="23.25" customHeight="1" x14ac:dyDescent="0.3"/>
    <row r="21" spans="1:15" ht="24" customHeight="1" x14ac:dyDescent="0.3">
      <c r="B21" s="110" t="s">
        <v>140</v>
      </c>
      <c r="C21" s="110"/>
      <c r="D21" s="110"/>
      <c r="E21" s="110"/>
      <c r="F21" s="110"/>
      <c r="G21" s="110"/>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1</v>
      </c>
      <c r="K24" s="58" t="b">
        <v>0</v>
      </c>
      <c r="L24" s="58"/>
      <c r="M24" s="58">
        <f>IF(L24=TRUE,3,IF(K24=TRUE,2,IF(J24=TRUE,1,IF(I24=TRUE,0,0))))</f>
        <v>1</v>
      </c>
      <c r="N24" s="58">
        <f>(4-COUNTBLANK(D24:G24))-1</f>
        <v>3</v>
      </c>
      <c r="O24" s="58">
        <f>COUNTA(I24:L24)</f>
        <v>3</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1</v>
      </c>
      <c r="L25" s="58" t="b">
        <v>0</v>
      </c>
      <c r="M25" s="58">
        <f>IF(L25=TRUE,3,IF(K25=TRUE,2,IF(J25=TRUE,1,IF(I25=TRUE,0,0))))</f>
        <v>2</v>
      </c>
      <c r="N25" s="58">
        <f>(4-COUNTBLANK(D25:G25))-1</f>
        <v>3</v>
      </c>
      <c r="O25" s="58">
        <f>COUNTA(I25:L25)</f>
        <v>3</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145</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row>
    <row r="36" spans="2:7" x14ac:dyDescent="0.3">
      <c r="B36" s="67">
        <v>5</v>
      </c>
      <c r="C36" s="68">
        <f t="shared" si="0"/>
        <v>6</v>
      </c>
      <c r="D36" s="60" t="str">
        <f t="shared" si="1"/>
        <v/>
      </c>
    </row>
    <row r="37" spans="2:7" x14ac:dyDescent="0.3">
      <c r="B37" s="67">
        <v>6</v>
      </c>
      <c r="C37" s="68">
        <f t="shared" si="0"/>
        <v>7</v>
      </c>
      <c r="D37" s="60" t="str">
        <f t="shared" si="1"/>
        <v>X</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
      </c>
    </row>
    <row r="41" spans="2:7" ht="15" hidden="1" customHeight="1" x14ac:dyDescent="0.3">
      <c r="B41" s="67">
        <f>IF(D31="X","",IF(D32="X",C32,IF(D33="X",C33,IF(D34="X",C34,IF(D35="X",C35,IF(D36="X",C36,IF(D37="X",C37,IF(D38="X",C38,IF(D39="X",C39,IF(D40="X",C40,""))))))))))</f>
        <v>7</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abSelected="1" topLeftCell="B43" workbookViewId="0">
      <selection activeCell="Q46" sqref="Q46"/>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B1-K2-W3: Reflecteert op het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Younes Et-Talby</v>
      </c>
      <c r="D15" s="10"/>
      <c r="E15" s="10"/>
      <c r="F15" s="10"/>
      <c r="G15" s="14"/>
    </row>
    <row r="16" spans="1:7" ht="22.5" customHeight="1" x14ac:dyDescent="0.3">
      <c r="B16" s="57" t="s">
        <v>39</v>
      </c>
      <c r="C16" s="82">
        <f>IF(Voorblad!B18="","",Voorblad!B18)</f>
        <v>9010549</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Justin Kool</v>
      </c>
      <c r="D18" s="10"/>
      <c r="E18" s="10"/>
      <c r="F18" s="10"/>
      <c r="G18" s="14"/>
    </row>
    <row r="19" spans="1:15" ht="22.5" customHeight="1" x14ac:dyDescent="0.3">
      <c r="B19" s="70" t="s">
        <v>108</v>
      </c>
      <c r="C19" s="79" t="str">
        <f>IF(Voorblad!B21="","",Voorblad!B21)</f>
        <v>Justin Kool</v>
      </c>
      <c r="D19" s="10"/>
      <c r="E19" s="10"/>
      <c r="F19" s="10"/>
      <c r="G19" s="14"/>
    </row>
    <row r="20" spans="1:15" ht="23.25" customHeight="1" x14ac:dyDescent="0.3"/>
    <row r="21" spans="1:15" ht="24" customHeight="1" x14ac:dyDescent="0.3">
      <c r="B21" s="110" t="s">
        <v>146</v>
      </c>
      <c r="C21" s="110"/>
      <c r="D21" s="110"/>
      <c r="E21" s="110"/>
      <c r="F21" s="110"/>
      <c r="G21" s="110"/>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1</v>
      </c>
      <c r="M24" s="58">
        <f>IF(L24=TRUE,3,IF(K24=TRUE,2,IF(J24=TRUE,1,IF(I24=TRUE,0,0))))</f>
        <v>3</v>
      </c>
      <c r="N24" s="58">
        <f>(4-COUNTBLANK(D24:G24))-1</f>
        <v>3</v>
      </c>
      <c r="O24" s="58">
        <f>COUNTA(I24:L24)</f>
        <v>2</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151</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t="str">
        <f t="shared" si="1"/>
        <v/>
      </c>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X</v>
      </c>
    </row>
    <row r="41" spans="2:7" hidden="1" x14ac:dyDescent="0.3">
      <c r="B41" s="67">
        <f>IF(D31="X","",IF(D32="X",C32,IF(D33="X",C33,IF(D34="X",C34,IF(D35="X",C35,IF(D36="X",C36,IF(D37="X",C37,IF(D38="X",C38,IF(D39="X",C39,IF(D40="X",C40,""))))))))))</f>
        <v>10</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Younes Et-Talby</cp:lastModifiedBy>
  <cp:revision/>
  <dcterms:created xsi:type="dcterms:W3CDTF">2015-10-30T11:14:52Z</dcterms:created>
  <dcterms:modified xsi:type="dcterms:W3CDTF">2024-11-07T20:25:34Z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