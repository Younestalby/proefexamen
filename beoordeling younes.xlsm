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00000000-0000-0000-0000-000000000000}"/>
  <workbookPr codeName="ThisWorkbook"/>
  <mc:AlternateContent xmlns:mc="http://schemas.openxmlformats.org/markup-compatibility/2006">
    <mc:Choice Requires="x15">
      <x15ac:absPath xmlns:x15ac="http://schemas.microsoft.com/office/spreadsheetml/2010/11/ac" url="C:\Users\youns\Downloads\Nieuwe map (3)\"/>
    </mc:Choice>
  </mc:AlternateContent>
  <xr:revisionPtr revIDLastSave="0" documentId="13_ncr:1_{5343646E-36A3-4234-87C9-02488F6129C3}"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C40" i="97"/>
  <c r="C35" i="97"/>
  <c r="C32" i="97"/>
  <c r="C34" i="97"/>
  <c r="C36" i="94"/>
  <c r="C33" i="96"/>
  <c r="B64" i="96"/>
  <c r="B46" i="95"/>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<sst xmlns="http://schemas.openxmlformats.org/spreadsheetml/2006/main" count="569" uniqueCount="215">
  <si>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</si>
  <si>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</si>
  <si>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</si>
  <si>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</si>
  <si>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</si>
  <si>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</si>
  <si>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</si>
  <si>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</si>
  <si>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</si>
  <si>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</si>
  <si>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</si>
  <si>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</si>
  <si>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</si>
  <si>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</si>
  <si>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</si>
  <si>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</si>
  <si>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</si>
  <si>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</si>
  <si>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</si>
  <si>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</si>
  <si>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</si>
  <si>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</si>
  <si>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</si>
  <si>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</si>
  <si>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</si>
  <si>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</si>
  <si>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</si>
  <si>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</si>
  <si>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</si>
  <si>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</si>
  <si>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</si>
  <si>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</si>
  <si>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</si>
  <si>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</si>
  <si>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</si>
  <si>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</si>
  <si>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</si>
  <si>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</si>
  <si>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</si>
  <si>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</si>
  <si>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</si>
  <si>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</si>
  <si>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</si>
  <si>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</si>
  <si>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</si>
  <si>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</si>
  <si>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</si>
  <si>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</si>
  <si>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</si>
  <si>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</si>
  <si>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</si>
  <si>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</si>
  <si>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</si>
  <si>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</si>
  <si>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</si>
  <si>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</si>
  <si>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</si>
  <si>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</si>
  <si>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</si>
  <si>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</si>
  <si>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</si>
  <si>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</si>
  <si>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</si>
  <si>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</si>
  <si>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</si>
  <si>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</si>
  <si>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</si>
  <si>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</si>
  <si>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</si>
  <si>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</si>
  <si>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</si>
  <si>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</si>
  <si>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</si>
  <si>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</si>
  <si>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</si>
  <si>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</si>
  <si>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</si>
  <si>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</si>
  <si>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</si>
  <si>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</si>
  <si>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</si>
  <si>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</si>
  <si>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</si>
  <si>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</si>
  <si>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</si>
  <si>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</si>
  <si>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</si>
  <si>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</si>
  <si>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</si>
  <si>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</si>
  <si>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</si>
  <si>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</si>
  <si>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</si>
  <si>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</si>
  <si>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</si>
  <si>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</si>
  <si>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</si>
  <si>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</si>
  <si>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</si>
  <si>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</si>
  <si>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</si>
  <si>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</si>
  <si>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</si>
  <si>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</si>
  <si>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</si>
  <si>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</si>
  <si>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</si>
  <si>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</si>
  <si>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</si>
  <si>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</si>
  <si>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</si>
  <si>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</si>
  <si>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</si>
  <si>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</si>
  <si>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</si>
  <si>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</si>
  <si>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</si>
  <si>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</si>
  <si>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</si>
  <si>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</si>
  <si>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</si>
  <si>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</si>
  <si>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</si>
  <si>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</si>
  <si>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</si>
  <si>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</si>
  <si>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</si>
  <si>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</si>
  <si>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</si>
  <si>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</si>
  <si>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</si>
  <si>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</si>
  <si>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</si>
  <si>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</si>
  <si>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</si>
  <si>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</si>
  <si>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</si>
  <si>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</si>
  <si>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</si>
  <si>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</si>
  <si>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</si>
  <si>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</si>
  <si>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</si>
  <si>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</si>
  <si>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</si>
  <si>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</si>
  <si>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</si>
  <si>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</si>
  <si>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</si>
  <si>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</si>
  <si>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</si>
  <si>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</si>
  <si>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</si>
  <si>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</si>
  <si>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</si>
  <si>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</si>
  <si>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</si>
  <si>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</si>
  <si>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</si>
  <si>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</si>
  <si>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</si>
  <si>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</si>
  <si>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</si>
  <si>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</si>
  <si>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</si>
  <si>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</si>
  <si>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</si>
  <si>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</si>
  <si>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</si>
  <si>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</si>
  <si>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</si>
  <si>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</si>
  <si>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</si>
  <si>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</si>
  <si>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</si>
  <si>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</si>
  <si>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</si>
  <si>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</si>
  <si>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</si>
  <si>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</si>
  <si>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</si>
  <si>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</si>
  <si>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</si>
  <si>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</si>
  <si>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</si>
  <si>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</si>
  <si>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</si>
  <si>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</si>
  <si>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</si>
  <si>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</si>
  <si>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</si>
  <si>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</si>
  <si>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</si>
  <si>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</si>
  <si>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</si>
  <si>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</si>
  <si>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</si>
  <si>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</si>
  <si>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</si>
  <si>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</si>
  <si>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</si>
  <si>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</si>
  <si>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</si>
  <si>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</si>
  <si>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</si>
  <si>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</si>
  <si>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</si>
  <si>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</si>
  <si>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</si>
  <si>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</si>
  <si>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</si>
  <si>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sod3b</t>
  </si>
  <si>
    <t>Younes Et-Talby</t>
  </si>
  <si>
    <t>Justin Kool</t>
  </si>
  <si>
    <t>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</si>
</sst>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checked="Checked" fmlaLink="'B1-K1-W1'!$K$24" lockText="1" noThreeD="1"/>
</file>

<file path=xl/ctrlProps/ctrlProp7.xml><?xml version="1.0" encoding="utf-8"?>
<formControlPr xmlns="http://schemas.microsoft.com/office/spreadsheetml/2009/9/main" objectType="CheckBox"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checked="Checked" fmlaLink="'B1-K1-W1'!$K$25" lockText="1" noThreeD="1"/>
</file>

<file path=xl/ctrlProps/ctrlProp11.xml><?xml version="1.0" encoding="utf-8"?>
<formControlPr xmlns="http://schemas.microsoft.com/office/spreadsheetml/2009/9/main" objectType="CheckBox"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checked="Checked" fmlaLink="'B1-K1-W1'!$K$26" lockText="1" noThreeD="1"/>
</file>

<file path=xl/ctrlProps/ctrlProp15.xml><?xml version="1.0" encoding="utf-8"?>
<formControlPr xmlns="http://schemas.microsoft.com/office/spreadsheetml/2009/9/main" objectType="CheckBox"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checked="Checked" fmlaLink="'B1-K1-W2'!$K$24" lockText="1" noThreeD="1"/>
</file>

<file path=xl/ctrlProps/ctrlProp25.xml><?xml version="1.0" encoding="utf-8"?>
<formControlPr xmlns="http://schemas.microsoft.com/office/spreadsheetml/2009/9/main" objectType="CheckBox"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checked="Checked"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checked="Checked" fmlaLink="'B1-K1-W3'!$K$24" lockText="1" noThreeD="1"/>
</file>

<file path=xl/ctrlProps/ctrlProp39.xml><?xml version="1.0" encoding="utf-8"?>
<formControlPr xmlns="http://schemas.microsoft.com/office/spreadsheetml/2009/9/main" objectType="CheckBox"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checked="Checked"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checked="Checked" fmlaLink="'B1-K1-W3'!$K$27" lockText="1" noThreeD="1"/>
</file>

<file path=xl/ctrlProps/ctrlProp51.xml><?xml version="1.0" encoding="utf-8"?>
<formControlPr xmlns="http://schemas.microsoft.com/office/spreadsheetml/2009/9/main" objectType="CheckBox"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checked="Checked"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checked="Checked"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checked="Checked"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Publiceren</a:t>
              </a:r>
            </a:p>
            <a:p>
              <a:pPr algn="ctr" rtl="0">
                <a:defRPr sz="1000"/>
              </a:pPr>
              <a:endParaRPr lang="LID4096"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abSelected="1" workbookViewId="0">
      <selection activeCell="E11" sqref="E11"/>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212</v>
      </c>
      <c r="C17" s="108"/>
    </row>
    <row r="18" spans="1:4" x14ac:dyDescent="0.3">
      <c r="A18" s="77" t="s">
        <v>39</v>
      </c>
      <c r="B18" s="115">
        <v>9010549</v>
      </c>
      <c r="C18" s="116"/>
    </row>
    <row r="19" spans="1:4" x14ac:dyDescent="0.3">
      <c r="A19" s="77" t="s">
        <v>40</v>
      </c>
      <c r="B19" s="107" t="s">
        <v>211</v>
      </c>
      <c r="C19" s="108"/>
    </row>
    <row r="20" spans="1:4" x14ac:dyDescent="0.3">
      <c r="A20" s="77" t="s">
        <v>137</v>
      </c>
      <c r="B20" s="107" t="s">
        <v>213</v>
      </c>
      <c r="C20" s="108"/>
    </row>
    <row r="21" spans="1:4" x14ac:dyDescent="0.3">
      <c r="A21" s="77" t="s">
        <v>138</v>
      </c>
      <c r="B21" s="107" t="s">
        <v>213</v>
      </c>
      <c r="C21" s="108"/>
    </row>
    <row r="22" spans="1:4" ht="15" thickBot="1" x14ac:dyDescent="0.35"/>
    <row r="23" spans="1:4" ht="15" thickBot="1" x14ac:dyDescent="0.35">
      <c r="A23" s="95" t="s">
        <v>26</v>
      </c>
      <c r="B23" s="94" t="s">
        <v>139</v>
      </c>
      <c r="C23" s="109" t="s">
        <v>140</v>
      </c>
    </row>
    <row r="24" spans="1:4" x14ac:dyDescent="0.3">
      <c r="A24" s="77" t="s">
        <v>63</v>
      </c>
      <c r="B24" s="79">
        <f>'B1-K1-W1'!B45</f>
        <v>7.8</v>
      </c>
      <c r="C24" s="109"/>
    </row>
    <row r="25" spans="1:4" x14ac:dyDescent="0.3">
      <c r="A25" s="77" t="s">
        <v>65</v>
      </c>
      <c r="B25" s="79" t="s">
        <v>214</v>
      </c>
      <c r="C25" s="109"/>
    </row>
    <row r="26" spans="1:4" x14ac:dyDescent="0.3">
      <c r="A26" s="77" t="s">
        <v>67</v>
      </c>
      <c r="B26" s="79">
        <v>7.5</v>
      </c>
      <c r="C26" s="109"/>
    </row>
    <row r="27" spans="1:4" x14ac:dyDescent="0.3">
      <c r="A27" s="77" t="s">
        <v>69</v>
      </c>
      <c r="B27" s="79">
        <v>8</v>
      </c>
      <c r="C27" s="109"/>
    </row>
    <row r="28" spans="1:4" x14ac:dyDescent="0.3">
      <c r="A28" s="77" t="s">
        <v>71</v>
      </c>
      <c r="B28" s="79">
        <f>IF('B1-K1-W5'!E35=TRUE,'B1-K1-W5'!B52,"")</f>
        <v>9.1</v>
      </c>
      <c r="C28" s="109"/>
    </row>
    <row r="29" spans="1:4" x14ac:dyDescent="0.3">
      <c r="A29" s="16"/>
      <c r="B29" s="89"/>
      <c r="C29" s="88"/>
      <c r="D29" s="92"/>
    </row>
    <row r="30" spans="1:4" x14ac:dyDescent="0.3">
      <c r="A30" s="90" t="s">
        <v>141</v>
      </c>
      <c r="B30" s="91" cm="1">
        <f t="array" ref="B30">IF(OR(B24:B28&lt;5.5),1,IF(OR(B24:B28=""),"",(AVERAGE(B24:B28))))</f>
        <v>8.1</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15" workbookViewId="0">
      <selection activeCell="B21" sqref="B21:G21"/>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Younes Et-Talby</v>
      </c>
      <c r="D15" s="10"/>
      <c r="E15" s="10"/>
      <c r="F15" s="10"/>
      <c r="G15" s="14"/>
    </row>
    <row r="16" spans="1:7" ht="22.5" customHeight="1" x14ac:dyDescent="0.3">
      <c r="B16" s="56" t="s">
        <v>39</v>
      </c>
      <c r="C16" s="87">
        <f>IF(Voorblad!B18="","",Voorblad!B18)</f>
        <v>9010549</v>
      </c>
      <c r="D16" s="10"/>
      <c r="E16" s="10"/>
      <c r="F16" s="10"/>
      <c r="G16" s="14"/>
    </row>
    <row r="17" spans="1:15" ht="22.5" customHeight="1" x14ac:dyDescent="0.3">
      <c r="B17" s="56" t="s">
        <v>40</v>
      </c>
      <c r="C17" s="84" t="str">
        <f>IF(Voorblad!B19="","",Voorblad!B19)</f>
        <v>sod3b</v>
      </c>
      <c r="D17" s="10"/>
      <c r="E17" s="10"/>
      <c r="F17" s="10"/>
      <c r="G17" s="14"/>
    </row>
    <row r="18" spans="1:15" ht="22.5" customHeight="1" x14ac:dyDescent="0.3">
      <c r="B18" s="77" t="s">
        <v>137</v>
      </c>
      <c r="C18" s="84" t="str">
        <f>IF(Voorblad!B20="","",Voorblad!B20)</f>
        <v>Justin Kool</v>
      </c>
      <c r="D18" s="10"/>
      <c r="E18" s="10"/>
      <c r="F18" s="10"/>
      <c r="G18" s="14"/>
    </row>
    <row r="19" spans="1:15" ht="22.5" customHeight="1" x14ac:dyDescent="0.3">
      <c r="B19" s="77" t="s">
        <v>138</v>
      </c>
      <c r="C19" s="84" t="str">
        <f>IF(Voorblad!B21="","",Voorblad!B21)</f>
        <v>Justin Kool</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1</v>
      </c>
      <c r="L24" s="59"/>
      <c r="M24" s="59">
        <f>IF(L24=TRUE,3,IF(K24=TRUE,2,IF(J24=TRUE,1,IF(I24=TRUE,0,0))))</f>
        <v>2</v>
      </c>
      <c r="N24" s="59">
        <f>(4-COUNTBLANK(D24:G24))-1</f>
        <v>3</v>
      </c>
      <c r="O24" s="59">
        <f>COUNTA(I24:L24)</f>
        <v>1</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X</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
      </c>
    </row>
    <row r="45" spans="2:4" hidden="1" x14ac:dyDescent="0.3">
      <c r="B45" s="69">
        <f>IF(D32="X","",IF(D33="X",C33,IF(D34="X",C34,IF(D35="X",C35,IF(D36="X",C36,IF(D37="X",C37,IF(D38="X",C38,IF(D39="X",C39,IF(D40="X",C40,IF(D41="X",C41,IF(D42="X",C42,IF(D43="X",C43,IF(D44="X",C44,"")))))))))))))</f>
        <v>7.8</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9" workbookViewId="0">
      <selection activeCell="F26" sqref="F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Younes Et-Talby</v>
      </c>
      <c r="D15" s="10"/>
      <c r="E15" s="10"/>
      <c r="F15" s="10"/>
      <c r="G15" s="14"/>
    </row>
    <row r="16" spans="1:7" ht="22.5" customHeight="1" x14ac:dyDescent="0.3">
      <c r="B16" s="56" t="s">
        <v>39</v>
      </c>
      <c r="C16" s="87">
        <f>IF(Voorblad!B18="","",Voorblad!B18)</f>
        <v>9010549</v>
      </c>
      <c r="D16" s="10"/>
      <c r="E16" s="10"/>
      <c r="F16" s="10"/>
      <c r="G16" s="14"/>
    </row>
    <row r="17" spans="1:15" ht="22.5" customHeight="1" x14ac:dyDescent="0.3">
      <c r="B17" s="56" t="s">
        <v>40</v>
      </c>
      <c r="C17" s="84" t="str">
        <f>IF(Voorblad!B19="","",Voorblad!B19)</f>
        <v>sod3b</v>
      </c>
      <c r="D17" s="10"/>
      <c r="E17" s="10"/>
      <c r="F17" s="10"/>
      <c r="G17" s="14"/>
    </row>
    <row r="18" spans="1:15" ht="22.5" customHeight="1" x14ac:dyDescent="0.3">
      <c r="B18" s="77" t="s">
        <v>137</v>
      </c>
      <c r="C18" s="84" t="str">
        <f>IF(Voorblad!B20="","",Voorblad!B20)</f>
        <v>Justin Kool</v>
      </c>
      <c r="D18" s="10"/>
      <c r="E18" s="10"/>
      <c r="F18" s="10"/>
      <c r="G18" s="14"/>
    </row>
    <row r="19" spans="1:15" ht="22.5" customHeight="1" x14ac:dyDescent="0.3">
      <c r="B19" s="77" t="s">
        <v>138</v>
      </c>
      <c r="C19" s="84" t="str">
        <f>IF(Voorblad!B21="","",Voorblad!B21)</f>
        <v>Justin Kool</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IF(L24=TRUE,3,IF(K24=TRUE,2,IF(J24=TRUE,1,IF(I24=TRUE,0,0))))</f>
        <v>2</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29" workbookViewId="0">
      <selection activeCell="G29" sqref="G2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Younes Et-Talby</v>
      </c>
      <c r="D15" s="10"/>
      <c r="E15" s="10"/>
      <c r="F15" s="10"/>
      <c r="G15" s="14"/>
    </row>
    <row r="16" spans="1:7" ht="22.5" customHeight="1" x14ac:dyDescent="0.3">
      <c r="B16" s="56" t="s">
        <v>39</v>
      </c>
      <c r="C16" s="87">
        <f>IF(Voorblad!B18="","",Voorblad!B18)</f>
        <v>9010549</v>
      </c>
      <c r="D16" s="10"/>
      <c r="E16" s="10"/>
      <c r="F16" s="10"/>
      <c r="G16" s="14"/>
    </row>
    <row r="17" spans="1:15" ht="22.5" customHeight="1" x14ac:dyDescent="0.3">
      <c r="B17" s="56" t="s">
        <v>40</v>
      </c>
      <c r="C17" s="84" t="str">
        <f>IF(Voorblad!B19="","",Voorblad!B19)</f>
        <v>sod3b</v>
      </c>
      <c r="D17" s="10"/>
      <c r="E17" s="10"/>
      <c r="F17" s="10"/>
      <c r="G17" s="14"/>
    </row>
    <row r="18" spans="1:15" ht="22.5" customHeight="1" x14ac:dyDescent="0.3">
      <c r="B18" s="77" t="s">
        <v>137</v>
      </c>
      <c r="C18" s="84" t="str">
        <f>IF(Voorblad!B20="","",Voorblad!B20)</f>
        <v>Justin Kool</v>
      </c>
      <c r="D18" s="10"/>
      <c r="E18" s="10"/>
      <c r="F18" s="10"/>
      <c r="G18" s="14"/>
    </row>
    <row r="19" spans="1:15" ht="22.5" customHeight="1" x14ac:dyDescent="0.3">
      <c r="B19" s="77" t="s">
        <v>138</v>
      </c>
      <c r="C19" s="84" t="str">
        <f>IF(Voorblad!B21="","",Voorblad!B21)</f>
        <v>Justin Kool</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1</v>
      </c>
      <c r="L24" s="59" t="b">
        <v>0</v>
      </c>
      <c r="M24" s="59">
        <f t="shared" ref="M24:M29" si="0">IF(L24=TRUE,3,IF(K24=TRUE,2,IF(J24=TRUE,1,IF(I24=TRUE,0,0))))</f>
        <v>2</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 t="shared" si="0"/>
        <v>2</v>
      </c>
      <c r="N25" s="59">
        <f t="shared" si="1"/>
        <v>3</v>
      </c>
      <c r="O25" s="59">
        <f t="shared" si="2"/>
        <v>3</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1</v>
      </c>
      <c r="K26" s="59" t="b">
        <v>0</v>
      </c>
      <c r="L26" s="59" t="b">
        <v>0</v>
      </c>
      <c r="M26" s="59">
        <f t="shared" si="0"/>
        <v>1</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1</v>
      </c>
      <c r="L27" s="59" t="b">
        <v>0</v>
      </c>
      <c r="M27" s="59">
        <f t="shared" si="0"/>
        <v>2</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X</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7</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30"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Younes Et-Talby</v>
      </c>
      <c r="D15" s="10"/>
      <c r="E15" s="10"/>
      <c r="F15" s="10"/>
      <c r="G15" s="14"/>
    </row>
    <row r="16" spans="1:7" ht="22.5" customHeight="1" x14ac:dyDescent="0.3">
      <c r="B16" s="56" t="s">
        <v>39</v>
      </c>
      <c r="C16" s="87">
        <f>IF(Voorblad!B18="","",Voorblad!B18)</f>
        <v>9010549</v>
      </c>
      <c r="D16" s="10"/>
      <c r="E16" s="10"/>
      <c r="F16" s="10"/>
      <c r="G16" s="14"/>
    </row>
    <row r="17" spans="1:15" ht="22.5" customHeight="1" x14ac:dyDescent="0.3">
      <c r="B17" s="56" t="s">
        <v>40</v>
      </c>
      <c r="C17" s="84" t="str">
        <f>IF(Voorblad!B19="","",Voorblad!B19)</f>
        <v>sod3b</v>
      </c>
      <c r="D17" s="10"/>
      <c r="E17" s="10"/>
      <c r="F17" s="10"/>
      <c r="G17" s="14"/>
    </row>
    <row r="18" spans="1:15" ht="22.5" customHeight="1" x14ac:dyDescent="0.3">
      <c r="B18" s="77" t="s">
        <v>137</v>
      </c>
      <c r="C18" s="84" t="str">
        <f>IF(Voorblad!B20="","",Voorblad!B20)</f>
        <v>Justin Kool</v>
      </c>
      <c r="D18" s="10"/>
      <c r="E18" s="10"/>
      <c r="F18" s="10"/>
      <c r="G18" s="14"/>
    </row>
    <row r="19" spans="1:15" ht="22.5" customHeight="1" x14ac:dyDescent="0.3">
      <c r="B19" s="77" t="s">
        <v>138</v>
      </c>
      <c r="C19" s="84" t="str">
        <f>IF(Voorblad!B21="","",Voorblad!B21)</f>
        <v>Justin Kool</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1</v>
      </c>
      <c r="K24" s="59" t="b">
        <v>0</v>
      </c>
      <c r="L24" s="59" t="b">
        <v>0</v>
      </c>
      <c r="M24" s="59">
        <f>IF(L24=TRUE,3,IF(K24=TRUE,2,IF(J24=TRUE,1,IF(I24=TRUE,0,0))))</f>
        <v>1</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X</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7</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opLeftCell="B31" workbookViewId="0">
      <selection activeCell="E47" sqref="E47"/>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9</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Younes Et-Talby</v>
      </c>
      <c r="D15" s="10"/>
      <c r="E15" s="10"/>
      <c r="F15" s="10"/>
      <c r="G15" s="14"/>
    </row>
    <row r="16" spans="1:7" ht="22.5" customHeight="1" x14ac:dyDescent="0.3">
      <c r="B16" s="56" t="s">
        <v>39</v>
      </c>
      <c r="C16" s="87">
        <f>IF(Voorblad!B18="","",Voorblad!B18)</f>
        <v>9010549</v>
      </c>
      <c r="D16" s="10"/>
      <c r="E16" s="10"/>
      <c r="F16" s="10"/>
      <c r="G16" s="14"/>
    </row>
    <row r="17" spans="1:15" ht="22.5" customHeight="1" x14ac:dyDescent="0.3">
      <c r="B17" s="56" t="s">
        <v>40</v>
      </c>
      <c r="C17" s="84" t="str">
        <f>IF(Voorblad!B19="","",Voorblad!B19)</f>
        <v>sod3b</v>
      </c>
      <c r="D17" s="10"/>
      <c r="E17" s="10"/>
      <c r="F17" s="10"/>
      <c r="G17" s="14"/>
    </row>
    <row r="18" spans="1:15" ht="22.5" customHeight="1" x14ac:dyDescent="0.3">
      <c r="B18" s="77" t="s">
        <v>137</v>
      </c>
      <c r="C18" s="84" t="str">
        <f>IF(Voorblad!B20="","",Voorblad!B20)</f>
        <v>Justin Kool</v>
      </c>
      <c r="D18" s="10"/>
      <c r="E18" s="10"/>
      <c r="F18" s="10"/>
      <c r="G18" s="14"/>
    </row>
    <row r="19" spans="1:15" ht="22.5" customHeight="1" x14ac:dyDescent="0.3">
      <c r="B19" s="77" t="s">
        <v>138</v>
      </c>
      <c r="C19" s="84" t="str">
        <f>IF(Voorblad!B21="","",Voorblad!B21)</f>
        <v>Justin Kool</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1</v>
      </c>
      <c r="L25" s="59" t="b">
        <v>0</v>
      </c>
      <c r="M25" s="59">
        <f>IF(L25=TRUE,3,IF(K25=TRUE,2,IF(J25=TRUE,1,IF(I25=TRUE,0,0))))</f>
        <v>2</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X</v>
      </c>
    </row>
    <row r="51" spans="2:7" x14ac:dyDescent="0.3">
      <c r="B51" s="69">
        <v>10</v>
      </c>
      <c r="C51" s="70">
        <f t="shared" si="0"/>
        <v>10</v>
      </c>
      <c r="D51" s="62" t="str">
        <f t="shared" si="1"/>
        <v/>
      </c>
    </row>
    <row r="52" spans="2:7" x14ac:dyDescent="0.3">
      <c r="B52" s="69">
        <f>IF(D41="X","",IF(D42="X",C42,IF(D43="X",C43,IF(D44="X",C44,IF(D45="X",C45,IF(D46="X",C46,IF(D47="X",C47,IF(D48="X",C48,IF(D49="X",C49,IF(D50="X",C50,IF(D51="X",C51,"")))))))))))</f>
        <v>9.1</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Younes Et-Talby</cp:lastModifiedBy>
  <cp:revision/>
  <dcterms:created xsi:type="dcterms:W3CDTF">2015-10-30T11:14:52Z</dcterms:created>
  <dcterms:modified xsi:type="dcterms:W3CDTF">2024-11-07T20:30:35Z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