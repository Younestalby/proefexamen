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mc:AlternateContent xmlns:mc="http://schemas.openxmlformats.org/markup-compatibility/2006">
    <mc:Choice Requires="x15">
      <x15ac:absPath xmlns:x15ac="http://schemas.microsoft.com/office/spreadsheetml/2010/11/ac" url="C:\Users\youns\Downloads\Nieuwe map (3)\"/>
    </mc:Choice>
  </mc:AlternateContent>
  <xr:revisionPtr revIDLastSave="0" documentId="13_ncr:1_{EDCCF50D-C0E3-43DE-972C-340FCB7A3920}"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<sst xmlns="http://schemas.openxmlformats.org/spreadsheetml/2006/main" count="331" uniqueCount="155">
  <si>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</si>
  <si>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</si>
  <si>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</si>
  <si>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</si>
  <si>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</si>
  <si>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</si>
  <si>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</si>
  <si>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</si>
  <si>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</si>
  <si>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</si>
  <si>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</si>
  <si>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</si>
  <si>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</si>
  <si>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</si>
  <si>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</si>
  <si>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</si>
  <si>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</si>
  <si>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</si>
  <si>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</si>
  <si>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</si>
  <si>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</si>
  <si>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</si>
  <si>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</si>
  <si>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</si>
  <si>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</si>
  <si>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</si>
  <si>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</si>
  <si>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</si>
  <si>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</si>
  <si>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</si>
  <si>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</si>
  <si>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</si>
  <si>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</si>
  <si>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</si>
  <si>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</si>
  <si>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</si>
  <si>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</si>
  <si>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</si>
  <si>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</si>
  <si>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</si>
  <si>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</si>
  <si>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</si>
  <si>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</si>
  <si>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</si>
  <si>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</si>
  <si>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</si>
  <si>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</si>
  <si>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</si>
  <si>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</si>
  <si>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</si>
  <si>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</si>
  <si>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</si>
  <si>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</si>
  <si>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</si>
  <si>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</si>
  <si>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</si>
  <si>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</si>
  <si>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</si>
  <si>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</si>
  <si>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</si>
  <si>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</si>
  <si>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</si>
  <si>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</si>
  <si>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</si>
  <si>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</si>
  <si>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</si>
  <si>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</si>
  <si>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</si>
  <si>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</si>
  <si>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</si>
  <si>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</si>
  <si>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</si>
  <si>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</si>
  <si>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</si>
  <si>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</si>
  <si>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</si>
  <si>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</si>
  <si>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</si>
  <si>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</si>
  <si>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</si>
  <si>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</si>
  <si>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</si>
  <si>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</si>
  <si>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</si>
  <si>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</si>
  <si>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</si>
  <si>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</si>
  <si>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</si>
  <si>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</si>
  <si>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</si>
  <si>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</si>
  <si>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</si>
  <si>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</si>
  <si>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</si>
  <si>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</si>
  <si>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</si>
  <si>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</si>
  <si>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</si>
  <si>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</si>
  <si>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</si>
  <si>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</si>
  <si>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</si>
  <si>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</si>
  <si>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</si>
  <si>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</si>
  <si>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</si>
  <si>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</si>
  <si>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</si>
  <si>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</si>
  <si>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</si>
  <si>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</si>
  <si>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</si>
  <si>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</si>
  <si>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</si>
  <si>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</si>
  <si>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</si>
  <si>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</si>
  <si>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</si>
  <si>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</si>
  <si>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</si>
  <si>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</si>
  <si>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</si>
  <si>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</si>
  <si>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</si>
  <si>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</si>
  <si>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</si>
  <si>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</si>
  <si>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</si>
  <si>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</si>
  <si>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</si>
  <si>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</si>
  <si>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</si>
  <si>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</si>
  <si>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</si>
  <si>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</si>
  <si>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</si>
  <si>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</si>
  <si>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</si>
  <si>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</si>
  <si>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</si>
  <si>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</si>
  <si>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</si>
  <si>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</si>
  <si>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</si>
  <si>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</si>
  <si>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</si>
  <si>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</si>
  <si>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</si>
  <si>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</si>
  <si>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</si>
  <si>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</si>
  <si>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</si>
  <si>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3b</t>
  </si>
  <si>
    <t>Younes Et-Talby</t>
  </si>
  <si>
    <t>Justin Kool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</si>
</sst>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checked="Checked"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Publiceren</a:t>
              </a:r>
            </a:p>
            <a:p>
              <a:pPr algn="ctr" rtl="0">
                <a:defRPr sz="1000"/>
              </a:pPr>
              <a:endParaRPr lang="LID4096"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0" workbookViewId="0">
      <selection activeCell="D13" sqref="D13"/>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45590</v>
      </c>
      <c r="C16" s="108"/>
      <c r="D16" s="71" t="s">
        <v>106</v>
      </c>
    </row>
    <row r="17" spans="1:3" x14ac:dyDescent="0.3">
      <c r="A17" s="70" t="s">
        <v>38</v>
      </c>
      <c r="B17" s="101" t="s">
        <v>153</v>
      </c>
      <c r="C17" s="102"/>
    </row>
    <row r="18" spans="1:3" x14ac:dyDescent="0.3">
      <c r="A18" s="70" t="s">
        <v>39</v>
      </c>
      <c r="B18" s="99">
        <v>9010549</v>
      </c>
      <c r="C18" s="100"/>
    </row>
    <row r="19" spans="1:3" x14ac:dyDescent="0.3">
      <c r="A19" s="70" t="s">
        <v>40</v>
      </c>
      <c r="B19" s="101" t="s">
        <v>152</v>
      </c>
      <c r="C19" s="102"/>
    </row>
    <row r="20" spans="1:3" x14ac:dyDescent="0.3">
      <c r="A20" s="70" t="s">
        <v>107</v>
      </c>
      <c r="B20" s="101" t="s">
        <v>154</v>
      </c>
      <c r="C20" s="102"/>
    </row>
    <row r="21" spans="1:3" x14ac:dyDescent="0.3">
      <c r="A21" s="70" t="s">
        <v>108</v>
      </c>
      <c r="B21" s="101" t="s">
        <v>154</v>
      </c>
      <c r="C21" s="102"/>
    </row>
    <row r="22" spans="1:3" ht="15" thickBot="1" x14ac:dyDescent="0.35"/>
    <row r="23" spans="1:3" ht="15" thickBot="1" x14ac:dyDescent="0.35">
      <c r="A23" s="72" t="s">
        <v>26</v>
      </c>
      <c r="B23" s="73" t="s">
        <v>109</v>
      </c>
      <c r="C23" s="103" t="s">
        <v>110</v>
      </c>
    </row>
    <row r="24" spans="1:3" x14ac:dyDescent="0.3">
      <c r="A24" s="70" t="s">
        <v>63</v>
      </c>
      <c r="B24" s="74">
        <f>'B1-K2-W1'!B45</f>
        <v>8.5</v>
      </c>
      <c r="C24" s="103"/>
    </row>
    <row r="25" spans="1:3" x14ac:dyDescent="0.3">
      <c r="A25" s="70" t="s">
        <v>65</v>
      </c>
      <c r="B25" s="74">
        <f>'B1-K2-W2'!B41</f>
        <v>7</v>
      </c>
      <c r="C25" s="103"/>
    </row>
    <row r="26" spans="1:3" x14ac:dyDescent="0.3">
      <c r="A26" s="70" t="s">
        <v>67</v>
      </c>
      <c r="B26" s="74">
        <f>'B1-K2-W3'!B41</f>
        <v>10</v>
      </c>
      <c r="C26" s="103"/>
    </row>
    <row r="27" spans="1:3" x14ac:dyDescent="0.3">
      <c r="A27" s="16"/>
      <c r="B27" s="84"/>
      <c r="C27" s="83"/>
    </row>
    <row r="28" spans="1:3" x14ac:dyDescent="0.3">
      <c r="A28" s="85" t="s">
        <v>111</v>
      </c>
      <c r="B28" s="86" cm="1">
        <f t="array" ref="B28">IF(OR(B24:B26&lt;5.5),1,IF(OR(B24:B26=""),"",(AVERAGE(B24:B26))))</f>
        <v>8.5</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B49" sqref="B49:G4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X</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8.5</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9"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1</v>
      </c>
      <c r="K24" s="58" t="b">
        <v>0</v>
      </c>
      <c r="L24" s="58"/>
      <c r="M24" s="58">
        <f>IF(L24=TRUE,3,IF(K24=TRUE,2,IF(J24=TRUE,1,IF(I24=TRUE,0,0))))</f>
        <v>1</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X</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7</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27" workbookViewId="0">
      <selection activeCell="C20" sqref="C2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idden="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Younes Et-Talby</cp:lastModifiedBy>
  <cp:revision/>
  <dcterms:created xsi:type="dcterms:W3CDTF">2015-10-30T11:14:52Z</dcterms:created>
  <dcterms:modified xsi:type="dcterms:W3CDTF">2024-11-07T20:27:50Z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